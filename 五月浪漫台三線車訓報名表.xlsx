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.DESKTOP-HA69EO0\Downloads\"/>
    </mc:Choice>
  </mc:AlternateContent>
  <xr:revisionPtr revIDLastSave="0" documentId="13_ncr:1_{16F962FF-07E9-4051-88B9-2C212206978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表單回覆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M16" i="1"/>
  <c r="N16" i="1"/>
  <c r="K16" i="1"/>
  <c r="C16" i="1"/>
</calcChain>
</file>

<file path=xl/sharedStrings.xml><?xml version="1.0" encoding="utf-8"?>
<sst xmlns="http://schemas.openxmlformats.org/spreadsheetml/2006/main" count="88" uniqueCount="86">
  <si>
    <t>時間戳記</t>
  </si>
  <si>
    <t>小鐵人家庭名稱</t>
  </si>
  <si>
    <t>車訓參與總人數(含大小鐵與小小鐵及來賓)</t>
  </si>
  <si>
    <t>參與夥伴中有繳年費人數</t>
  </si>
  <si>
    <t>鐵爸自然名</t>
  </si>
  <si>
    <t>鐵媽自然名</t>
  </si>
  <si>
    <t>小鐵人1自然名</t>
  </si>
  <si>
    <t>小鐵人2自然名</t>
  </si>
  <si>
    <t>小鐵人3自然名</t>
  </si>
  <si>
    <t>其他參與成員之姓名與年齡 (如家人或友人)</t>
  </si>
  <si>
    <t>中餐： 焢肉便當</t>
  </si>
  <si>
    <t>中餐： 蜜汁雞腿便當</t>
  </si>
  <si>
    <t>中餐： 滷排骨便當</t>
  </si>
  <si>
    <t>中餐： 素食時蔬便當</t>
  </si>
  <si>
    <t>請自行結算本次活動總金額 
 【範例】一大一小(活動費200*2=400)，若本範例二人均為非年費成員則為(400+200=600)，另外再加上便當1個100元共2個。總金額為(400+200+200=800)</t>
  </si>
  <si>
    <t>請提供匯款帳號後五碼或 line pay之line名稱</t>
  </si>
  <si>
    <t>芒果家</t>
  </si>
  <si>
    <t>芒果乾</t>
  </si>
  <si>
    <t>荔枝</t>
  </si>
  <si>
    <t>芒果</t>
  </si>
  <si>
    <t>Julia 50
允豪 14
Mia 12</t>
  </si>
  <si>
    <t>胡麻柴</t>
  </si>
  <si>
    <t>紅蜥蜴</t>
  </si>
  <si>
    <t>霸王龍</t>
  </si>
  <si>
    <t>Linepau</t>
  </si>
  <si>
    <t>大豆家</t>
  </si>
  <si>
    <t>紅豆</t>
  </si>
  <si>
    <t>大豆</t>
  </si>
  <si>
    <t>黑豆</t>
  </si>
  <si>
    <t>1大2小=900元</t>
  </si>
  <si>
    <t>Linepay</t>
  </si>
  <si>
    <t>獵鷹家</t>
  </si>
  <si>
    <t>熊鷹</t>
  </si>
  <si>
    <t>瑪麗貓</t>
  </si>
  <si>
    <t>獵鷹</t>
  </si>
  <si>
    <t>凱蒂貓</t>
  </si>
  <si>
    <t>Mariah Lin</t>
  </si>
  <si>
    <t>烏龜家</t>
  </si>
  <si>
    <t>巫師</t>
  </si>
  <si>
    <t>巫婆</t>
  </si>
  <si>
    <t>烏賊</t>
  </si>
  <si>
    <t>600 +200=800</t>
  </si>
  <si>
    <t>Line pay 洪千雅</t>
  </si>
  <si>
    <t>黑豹家</t>
  </si>
  <si>
    <t>金錢豹</t>
  </si>
  <si>
    <t>200+100=300</t>
  </si>
  <si>
    <t>廖原賢</t>
  </si>
  <si>
    <t>羊娃娃家</t>
  </si>
  <si>
    <t>羊來了</t>
  </si>
  <si>
    <t>羊跪妃</t>
  </si>
  <si>
    <t>羊肉爐</t>
  </si>
  <si>
    <t>一大(200+100=300)</t>
  </si>
  <si>
    <t>11483 (17893)</t>
  </si>
  <si>
    <t>腰果家</t>
  </si>
  <si>
    <t>夏威夷果</t>
  </si>
  <si>
    <t>松果</t>
  </si>
  <si>
    <t>200活動費+200活動費+100便當+100便當=600</t>
  </si>
  <si>
    <t>Remi 洪靜誼 夏威夷果</t>
  </si>
  <si>
    <t>橘子貓</t>
  </si>
  <si>
    <t>山獅</t>
  </si>
  <si>
    <t>捷豹</t>
  </si>
  <si>
    <t>蘋果哥哥家</t>
  </si>
  <si>
    <t>鱸鰻</t>
  </si>
  <si>
    <t>蘋果哥哥</t>
  </si>
  <si>
    <t>紀大偉（鱸鰻）</t>
  </si>
  <si>
    <t>多多家</t>
  </si>
  <si>
    <t>仙草</t>
  </si>
  <si>
    <t>多多</t>
  </si>
  <si>
    <t>菓子</t>
  </si>
  <si>
    <t>200*3+100*3=900</t>
  </si>
  <si>
    <t>小旗魚家</t>
  </si>
  <si>
    <t>比目魚</t>
  </si>
  <si>
    <t>小旗魚</t>
  </si>
  <si>
    <t>孔雀魚</t>
  </si>
  <si>
    <t>水晶魚</t>
  </si>
  <si>
    <t>Sunny 雅嵐</t>
  </si>
  <si>
    <t>蒸汽火車家</t>
  </si>
  <si>
    <t>高鐵</t>
  </si>
  <si>
    <t>02349</t>
  </si>
  <si>
    <t>遊隼家</t>
  </si>
  <si>
    <t>大卷尾</t>
  </si>
  <si>
    <t>琉璃鳥</t>
  </si>
  <si>
    <t>綠繡眼</t>
  </si>
  <si>
    <t>海鸚鵡</t>
  </si>
  <si>
    <t>200*4+300=1100</t>
  </si>
  <si>
    <t>Linepay(已加好友，請加我linrayjay謝謝）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</si>
</sst>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6CFE0"/>
          <bgColor rgb="FFD6CFE0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5" xr9:uid="{00000000-0011-0000-FFFF-FFFF00000000}">
      <tableStyleElement type="wholeTable" size="0" dxfId="20"/>
      <tableStyleElement type="headerRow" dxfId="19"/>
      <tableStyleElement type="total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6" totalsRowCount="1">
  <tableColumns count="16">
    <tableColumn id="1" xr3:uid="{00000000-0010-0000-0000-000001000000}" name="時間戳記" totalsRowDxfId="15"/>
    <tableColumn id="2" xr3:uid="{00000000-0010-0000-0000-000002000000}" name="小鐵人家庭名稱" totalsRowDxfId="14"/>
    <tableColumn id="3" xr3:uid="{00000000-0010-0000-0000-000003000000}" name="車訓參與總人數(含大小鐵與小小鐵及來賓)" totalsRowFunction="custom" totalsRowDxfId="13">
      <totalsRowFormula>SUM(Form_Responses[車訓參與總人數(含大小鐵與小小鐵及來賓)])</totalsRowFormula>
    </tableColumn>
    <tableColumn id="4" xr3:uid="{00000000-0010-0000-0000-000004000000}" name="參與夥伴中有繳年費人數" totalsRowDxfId="12"/>
    <tableColumn id="5" xr3:uid="{00000000-0010-0000-0000-000005000000}" name="鐵爸自然名" totalsRowDxfId="11"/>
    <tableColumn id="6" xr3:uid="{00000000-0010-0000-0000-000006000000}" name="鐵媽自然名" totalsRowDxfId="10"/>
    <tableColumn id="7" xr3:uid="{00000000-0010-0000-0000-000007000000}" name="小鐵人1自然名" totalsRowDxfId="9"/>
    <tableColumn id="8" xr3:uid="{00000000-0010-0000-0000-000008000000}" name="小鐵人2自然名" totalsRowDxfId="8"/>
    <tableColumn id="9" xr3:uid="{00000000-0010-0000-0000-000009000000}" name="小鐵人3自然名" totalsRowDxfId="7"/>
    <tableColumn id="10" xr3:uid="{00000000-0010-0000-0000-00000A000000}" name="其他參與成員之姓名與年齡 (如家人或友人)" totalsRowDxfId="6"/>
    <tableColumn id="11" xr3:uid="{00000000-0010-0000-0000-00000B000000}" name="中餐： 焢肉便當" totalsRowFunction="custom" totalsRowDxfId="5">
      <totalsRowFormula>SUM(K2:K15)</totalsRowFormula>
    </tableColumn>
    <tableColumn id="12" xr3:uid="{00000000-0010-0000-0000-00000C000000}" name="中餐： 蜜汁雞腿便當" totalsRowFunction="custom" totalsRowDxfId="4">
      <totalsRowFormula>SUM(L2:L15)</totalsRowFormula>
    </tableColumn>
    <tableColumn id="13" xr3:uid="{00000000-0010-0000-0000-00000D000000}" name="中餐： 滷排骨便當" totalsRowFunction="custom" totalsRowDxfId="3">
      <totalsRowFormula>SUM(M2:M15)</totalsRowFormula>
    </tableColumn>
    <tableColumn id="14" xr3:uid="{00000000-0010-0000-0000-00000E000000}" name="中餐： 素食時蔬便當" totalsRowFunction="custom" totalsRowDxfId="2">
      <totalsRowFormula>SUM(N2:N15)</totalsRowFormula>
    </tableColumn>
    <tableColumn id="15" xr3:uid="{00000000-0010-0000-0000-00000F000000}" name="請自行結算本次活動總金額 _x000a_ 【範例】一大一小(活動費200*2=400)，若本範例二人均為非年費成員則為(400+200=600)，另外再加上便當1個100元共2個。總金額為(400+200+200=800)" totalsRowDxfId="1"/>
    <tableColumn id="16" xr3:uid="{00000000-0010-0000-0000-000010000000}" name="請提供匯款帳號後五碼或 line pay之line名稱" totalsRowDxfId="0"/>
  </tableColumns>
  <tableStyleInfo name="表單回覆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"/>
  <sheetViews>
    <sheetView tabSelected="1" workbookViewId="0">
      <pane ySplit="1" topLeftCell="A2" activePane="bottomLeft" state="frozen"/>
      <selection pane="bottomLeft" activeCell="E18" sqref="E18"/>
    </sheetView>
  </sheetViews>
  <sheetFormatPr defaultColWidth="12.59765625" defaultRowHeight="15.75" customHeight="1" x14ac:dyDescent="0.35"/>
  <cols>
    <col min="1" max="2" width="18.86328125" customWidth="1"/>
    <col min="3" max="3" width="9.73046875" customWidth="1"/>
    <col min="4" max="4" width="15.1328125" customWidth="1"/>
    <col min="5" max="5" width="15.265625" customWidth="1"/>
    <col min="6" max="6" width="13.3984375" customWidth="1"/>
    <col min="7" max="8" width="18.86328125" customWidth="1"/>
    <col min="9" max="9" width="12.59765625" customWidth="1"/>
    <col min="10" max="10" width="18.46484375" customWidth="1"/>
    <col min="11" max="11" width="14.265625" customWidth="1"/>
    <col min="12" max="12" width="17.1328125" customWidth="1"/>
    <col min="13" max="14" width="18.86328125" customWidth="1"/>
    <col min="15" max="15" width="38.59765625" customWidth="1"/>
    <col min="16" max="16" width="24" customWidth="1"/>
    <col min="17" max="22" width="18.86328125" customWidth="1"/>
  </cols>
  <sheetData>
    <row r="1" spans="1:16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35">
      <c r="A2" s="2">
        <v>46148.874314907407</v>
      </c>
      <c r="B2" s="3" t="s">
        <v>16</v>
      </c>
      <c r="C2" s="3">
        <v>6</v>
      </c>
      <c r="D2" s="3">
        <v>2</v>
      </c>
      <c r="E2" s="3" t="s">
        <v>17</v>
      </c>
      <c r="F2" s="3" t="s">
        <v>18</v>
      </c>
      <c r="G2" s="3" t="s">
        <v>19</v>
      </c>
      <c r="H2" s="3"/>
      <c r="I2" s="3"/>
      <c r="J2" s="3" t="s">
        <v>20</v>
      </c>
      <c r="K2" s="3">
        <v>2</v>
      </c>
      <c r="L2" s="3">
        <v>1</v>
      </c>
      <c r="M2" s="3">
        <v>2</v>
      </c>
      <c r="N2" s="3">
        <v>1</v>
      </c>
      <c r="O2" s="3">
        <v>2100</v>
      </c>
      <c r="P2" s="3">
        <v>66116</v>
      </c>
    </row>
    <row r="3" spans="1:16" ht="22.5" customHeight="1" x14ac:dyDescent="0.35">
      <c r="A3" s="2">
        <v>46148.876003321755</v>
      </c>
      <c r="B3" s="3" t="s">
        <v>21</v>
      </c>
      <c r="C3" s="3">
        <v>3</v>
      </c>
      <c r="D3" s="3">
        <v>3</v>
      </c>
      <c r="E3" s="3" t="s">
        <v>22</v>
      </c>
      <c r="F3" s="3"/>
      <c r="G3" s="3" t="s">
        <v>21</v>
      </c>
      <c r="H3" s="3" t="s">
        <v>23</v>
      </c>
      <c r="I3" s="3"/>
      <c r="J3" s="3"/>
      <c r="K3" s="3">
        <v>1</v>
      </c>
      <c r="L3" s="3">
        <v>1</v>
      </c>
      <c r="M3" s="3">
        <v>1</v>
      </c>
      <c r="N3" s="3"/>
      <c r="O3" s="3">
        <v>600</v>
      </c>
      <c r="P3" s="3" t="s">
        <v>24</v>
      </c>
    </row>
    <row r="4" spans="1:16" ht="22.5" customHeight="1" x14ac:dyDescent="0.35">
      <c r="A4" s="2">
        <v>46148.949597141203</v>
      </c>
      <c r="B4" s="3" t="s">
        <v>25</v>
      </c>
      <c r="C4" s="3">
        <v>3</v>
      </c>
      <c r="D4" s="3">
        <v>3</v>
      </c>
      <c r="E4" s="3"/>
      <c r="F4" s="3" t="s">
        <v>26</v>
      </c>
      <c r="G4" s="3" t="s">
        <v>27</v>
      </c>
      <c r="H4" s="3" t="s">
        <v>28</v>
      </c>
      <c r="I4" s="3"/>
      <c r="J4" s="3"/>
      <c r="K4" s="3"/>
      <c r="L4" s="3">
        <v>2</v>
      </c>
      <c r="M4" s="3"/>
      <c r="N4" s="3">
        <v>1</v>
      </c>
      <c r="O4" s="3" t="s">
        <v>29</v>
      </c>
      <c r="P4" s="3" t="s">
        <v>30</v>
      </c>
    </row>
    <row r="5" spans="1:16" ht="22.5" customHeight="1" x14ac:dyDescent="0.35">
      <c r="A5" s="2">
        <v>46148.986679363428</v>
      </c>
      <c r="B5" s="3" t="s">
        <v>31</v>
      </c>
      <c r="C5" s="3">
        <v>4</v>
      </c>
      <c r="D5" s="3">
        <v>4</v>
      </c>
      <c r="E5" s="3" t="s">
        <v>32</v>
      </c>
      <c r="F5" s="3" t="s">
        <v>33</v>
      </c>
      <c r="G5" s="3" t="s">
        <v>34</v>
      </c>
      <c r="H5" s="3" t="s">
        <v>35</v>
      </c>
      <c r="I5" s="3"/>
      <c r="J5" s="3"/>
      <c r="K5" s="3">
        <v>1</v>
      </c>
      <c r="L5" s="3">
        <v>1</v>
      </c>
      <c r="M5" s="3">
        <v>1</v>
      </c>
      <c r="N5" s="3"/>
      <c r="O5" s="3">
        <v>1100</v>
      </c>
      <c r="P5" s="3" t="s">
        <v>36</v>
      </c>
    </row>
    <row r="6" spans="1:16" ht="22.5" customHeight="1" x14ac:dyDescent="0.35">
      <c r="A6" s="2">
        <v>46150.819390335644</v>
      </c>
      <c r="B6" s="3" t="s">
        <v>37</v>
      </c>
      <c r="C6" s="3">
        <v>3</v>
      </c>
      <c r="D6" s="3">
        <v>3</v>
      </c>
      <c r="E6" s="3" t="s">
        <v>38</v>
      </c>
      <c r="F6" s="3" t="s">
        <v>39</v>
      </c>
      <c r="G6" s="3" t="s">
        <v>40</v>
      </c>
      <c r="K6" s="3">
        <v>3</v>
      </c>
      <c r="M6" s="3">
        <v>2</v>
      </c>
      <c r="O6" s="3" t="s">
        <v>41</v>
      </c>
      <c r="P6" s="3" t="s">
        <v>42</v>
      </c>
    </row>
    <row r="7" spans="1:16" ht="22.5" customHeight="1" x14ac:dyDescent="0.35">
      <c r="A7" s="2">
        <v>46153.425705995367</v>
      </c>
      <c r="B7" s="3" t="s">
        <v>43</v>
      </c>
      <c r="C7" s="3">
        <v>1</v>
      </c>
      <c r="D7" s="3">
        <v>1</v>
      </c>
      <c r="E7" s="3" t="s">
        <v>44</v>
      </c>
      <c r="K7" s="3">
        <v>1</v>
      </c>
      <c r="O7" s="3" t="s">
        <v>45</v>
      </c>
      <c r="P7" s="3" t="s">
        <v>46</v>
      </c>
    </row>
    <row r="8" spans="1:16" ht="22.5" customHeight="1" x14ac:dyDescent="0.35">
      <c r="A8" s="2">
        <v>46153.450261736114</v>
      </c>
      <c r="B8" s="3" t="s">
        <v>47</v>
      </c>
      <c r="C8" s="3">
        <v>3</v>
      </c>
      <c r="D8" s="3">
        <v>3</v>
      </c>
      <c r="E8" s="3" t="s">
        <v>48</v>
      </c>
      <c r="F8" s="3" t="s">
        <v>49</v>
      </c>
      <c r="G8" s="3" t="s">
        <v>50</v>
      </c>
      <c r="L8" s="3">
        <v>1</v>
      </c>
      <c r="M8" s="3">
        <v>1</v>
      </c>
      <c r="O8" s="3" t="s">
        <v>51</v>
      </c>
      <c r="P8" s="3" t="s">
        <v>52</v>
      </c>
    </row>
    <row r="9" spans="1:16" ht="22.5" customHeight="1" x14ac:dyDescent="0.35">
      <c r="A9" s="2">
        <v>46153.7049333912</v>
      </c>
      <c r="B9" s="3" t="s">
        <v>53</v>
      </c>
      <c r="C9" s="3">
        <v>2</v>
      </c>
      <c r="D9" s="3">
        <v>2</v>
      </c>
      <c r="F9" s="3" t="s">
        <v>54</v>
      </c>
      <c r="G9" s="3" t="s">
        <v>55</v>
      </c>
      <c r="K9" s="3">
        <v>1</v>
      </c>
      <c r="L9" s="3">
        <v>1</v>
      </c>
      <c r="O9" s="3" t="s">
        <v>56</v>
      </c>
      <c r="P9" s="3" t="s">
        <v>57</v>
      </c>
    </row>
    <row r="10" spans="1:16" ht="22.5" customHeight="1" x14ac:dyDescent="0.35">
      <c r="A10" s="2">
        <v>46153.745771516202</v>
      </c>
      <c r="B10" s="3" t="s">
        <v>58</v>
      </c>
      <c r="C10" s="3">
        <v>2</v>
      </c>
      <c r="D10" s="3">
        <v>2</v>
      </c>
      <c r="E10" s="3" t="s">
        <v>59</v>
      </c>
      <c r="G10" s="3" t="s">
        <v>60</v>
      </c>
      <c r="O10" s="3">
        <v>400</v>
      </c>
      <c r="P10" s="3">
        <v>57692</v>
      </c>
    </row>
    <row r="11" spans="1:16" ht="22.5" customHeight="1" x14ac:dyDescent="0.35">
      <c r="A11" s="2">
        <v>46153.784155717593</v>
      </c>
      <c r="B11" s="3" t="s">
        <v>61</v>
      </c>
      <c r="C11" s="3">
        <v>2</v>
      </c>
      <c r="D11" s="3">
        <v>2</v>
      </c>
      <c r="E11" s="3" t="s">
        <v>62</v>
      </c>
      <c r="G11" s="3" t="s">
        <v>63</v>
      </c>
      <c r="K11" s="3">
        <v>1</v>
      </c>
      <c r="M11" s="3">
        <v>1</v>
      </c>
      <c r="O11" s="3">
        <v>600</v>
      </c>
      <c r="P11" s="3" t="s">
        <v>64</v>
      </c>
    </row>
    <row r="12" spans="1:16" ht="22.5" customHeight="1" x14ac:dyDescent="0.35">
      <c r="A12" s="2">
        <v>46156.610911435186</v>
      </c>
      <c r="B12" s="3" t="s">
        <v>65</v>
      </c>
      <c r="C12" s="3">
        <v>3</v>
      </c>
      <c r="D12" s="3">
        <v>3</v>
      </c>
      <c r="F12" s="3" t="s">
        <v>66</v>
      </c>
      <c r="G12" s="3" t="s">
        <v>67</v>
      </c>
      <c r="H12" s="3" t="s">
        <v>68</v>
      </c>
      <c r="L12" s="3">
        <v>2</v>
      </c>
      <c r="M12" s="3">
        <v>1</v>
      </c>
      <c r="O12" s="3" t="s">
        <v>69</v>
      </c>
      <c r="P12" s="3" t="s">
        <v>30</v>
      </c>
    </row>
    <row r="13" spans="1:16" ht="22.5" customHeight="1" x14ac:dyDescent="0.35">
      <c r="A13" s="2">
        <v>46157.688009907404</v>
      </c>
      <c r="B13" s="3" t="s">
        <v>70</v>
      </c>
      <c r="C13" s="3">
        <v>4</v>
      </c>
      <c r="D13" s="3">
        <v>4</v>
      </c>
      <c r="F13" s="3" t="s">
        <v>71</v>
      </c>
      <c r="G13" s="3" t="s">
        <v>72</v>
      </c>
      <c r="H13" s="3" t="s">
        <v>73</v>
      </c>
      <c r="I13" s="3" t="s">
        <v>74</v>
      </c>
      <c r="L13" s="3">
        <v>2</v>
      </c>
      <c r="M13" s="3">
        <v>2</v>
      </c>
      <c r="O13" s="3">
        <v>1100</v>
      </c>
      <c r="P13" s="3" t="s">
        <v>75</v>
      </c>
    </row>
    <row r="14" spans="1:16" ht="22.5" customHeight="1" x14ac:dyDescent="0.35">
      <c r="A14" s="2">
        <v>46157.857937708337</v>
      </c>
      <c r="B14" s="3" t="s">
        <v>76</v>
      </c>
      <c r="C14" s="3">
        <v>1</v>
      </c>
      <c r="D14" s="3">
        <v>1</v>
      </c>
      <c r="E14" s="3" t="s">
        <v>77</v>
      </c>
      <c r="K14" s="3">
        <v>1</v>
      </c>
      <c r="O14" s="3">
        <v>300</v>
      </c>
      <c r="P14" s="4" t="s">
        <v>78</v>
      </c>
    </row>
    <row r="15" spans="1:16" ht="22.5" customHeight="1" x14ac:dyDescent="0.35">
      <c r="A15" s="2">
        <v>46159.930817800923</v>
      </c>
      <c r="B15" s="3" t="s">
        <v>79</v>
      </c>
      <c r="C15" s="3">
        <v>4</v>
      </c>
      <c r="D15" s="3">
        <v>4</v>
      </c>
      <c r="E15" s="3" t="s">
        <v>80</v>
      </c>
      <c r="F15" s="3" t="s">
        <v>81</v>
      </c>
      <c r="G15" s="3" t="s">
        <v>82</v>
      </c>
      <c r="H15" s="3" t="s">
        <v>83</v>
      </c>
      <c r="K15" s="3">
        <v>1</v>
      </c>
      <c r="L15" s="3">
        <v>1</v>
      </c>
      <c r="M15" s="3">
        <v>1</v>
      </c>
      <c r="O15" s="3" t="s">
        <v>84</v>
      </c>
      <c r="P15" s="3" t="s">
        <v>85</v>
      </c>
    </row>
    <row r="16" spans="1:16" ht="22.5" customHeight="1" x14ac:dyDescent="0.35">
      <c r="A16" s="5"/>
      <c r="B16" s="5"/>
      <c r="C16" s="5">
        <f>SUM(Form_Responses[車訓參與總人數(含大小鐵與小小鐵及來賓)])</f>
        <v>41</v>
      </c>
      <c r="D16" s="5"/>
      <c r="E16" s="5"/>
      <c r="F16" s="5"/>
      <c r="G16" s="5"/>
      <c r="H16" s="5"/>
      <c r="I16" s="5"/>
      <c r="J16" s="5"/>
      <c r="K16" s="5">
        <f>SUM(K2:K15)</f>
        <v>12</v>
      </c>
      <c r="L16" s="5">
        <f t="shared" ref="L16:N16" si="0">SUM(L2:L15)</f>
        <v>12</v>
      </c>
      <c r="M16" s="5">
        <f t="shared" si="0"/>
        <v>12</v>
      </c>
      <c r="N16" s="5">
        <f t="shared" si="0"/>
        <v>2</v>
      </c>
      <c r="O16" s="5"/>
      <c r="P16" s="5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表單回覆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廖</cp:lastModifiedBy>
  <dcterms:modified xsi:type="dcterms:W3CDTF">2026-05-17T15:36:37Z</dcterms:modified>
</cp:coreProperties>
</file>